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iberDB\Documents\GitHub\eyadkishawi-InterfaceBoard\Design-Files\7000_0303_Rev13\Project Outputs for 7000_0303_Rev13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4" i="1" l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<sst xmlns="http://schemas.openxmlformats.org/spreadsheetml/2006/main" count="426" uniqueCount="298">
  <si>
    <t>#</t>
  </si>
  <si>
    <t>Item Type</t>
  </si>
  <si>
    <t>Tantalum Capacitors</t>
  </si>
  <si>
    <t>Capacitor</t>
  </si>
  <si>
    <t>Capacitors</t>
  </si>
  <si>
    <t>Tantalum Capacitor</t>
  </si>
  <si>
    <t>Rectifier Diodes</t>
  </si>
  <si>
    <t>Diode</t>
  </si>
  <si>
    <t>Connectors</t>
  </si>
  <si>
    <t>Female Header</t>
  </si>
  <si>
    <t>Pin Header</t>
  </si>
  <si>
    <t>Headers and Wire Housings</t>
  </si>
  <si>
    <t>Headers, Male Pins</t>
  </si>
  <si>
    <t>IDC Connectors</t>
  </si>
  <si>
    <t>Wire To Board Connector</t>
  </si>
  <si>
    <t>VGA connector</t>
  </si>
  <si>
    <t>Through Hole Pads</t>
  </si>
  <si>
    <t>Header</t>
  </si>
  <si>
    <t>Batteries and Accessories</t>
  </si>
  <si>
    <t>Inductors</t>
  </si>
  <si>
    <t>Mosfet</t>
  </si>
  <si>
    <t>MOSFET</t>
  </si>
  <si>
    <t>MOSFETs</t>
  </si>
  <si>
    <t>Resistor</t>
  </si>
  <si>
    <t>Slide Switches</t>
  </si>
  <si>
    <t>LDO</t>
  </si>
  <si>
    <t>Board Mount Modules</t>
  </si>
  <si>
    <t>IC</t>
  </si>
  <si>
    <t>Designator</t>
  </si>
  <si>
    <t>C1</t>
  </si>
  <si>
    <t>C2, C3</t>
  </si>
  <si>
    <t>C4, C8, C25, C44</t>
  </si>
  <si>
    <t>C5, C6, C7</t>
  </si>
  <si>
    <t>C9, C10, C17, C18, C20, C21, C22, C27, C28, C29, C30, C31, C33, C43, C45</t>
  </si>
  <si>
    <t>C11</t>
  </si>
  <si>
    <t>C12</t>
  </si>
  <si>
    <t>C32</t>
  </si>
  <si>
    <t>C34, C35, C37</t>
  </si>
  <si>
    <t>C38</t>
  </si>
  <si>
    <t>C41, C42</t>
  </si>
  <si>
    <t>D1</t>
  </si>
  <si>
    <t>D4</t>
  </si>
  <si>
    <t>J1</t>
  </si>
  <si>
    <t>J2</t>
  </si>
  <si>
    <t>J3</t>
  </si>
  <si>
    <t>J4, J10</t>
  </si>
  <si>
    <t>J5</t>
  </si>
  <si>
    <t>J6</t>
  </si>
  <si>
    <t>J7</t>
  </si>
  <si>
    <t>J8, J12</t>
  </si>
  <si>
    <t>J9</t>
  </si>
  <si>
    <t>J11</t>
  </si>
  <si>
    <t>J13</t>
  </si>
  <si>
    <t>J14, J19, J20</t>
  </si>
  <si>
    <t>J15</t>
  </si>
  <si>
    <t>J16</t>
  </si>
  <si>
    <t>J17</t>
  </si>
  <si>
    <t>J18</t>
  </si>
  <si>
    <t>J21</t>
  </si>
  <si>
    <t>J22</t>
  </si>
  <si>
    <t>J23</t>
  </si>
  <si>
    <t>J24</t>
  </si>
  <si>
    <t>L1</t>
  </si>
  <si>
    <t>L5</t>
  </si>
  <si>
    <t>Q1, Q2, Q5, Q9</t>
  </si>
  <si>
    <t>Q4</t>
  </si>
  <si>
    <t>Q6</t>
  </si>
  <si>
    <t>Q7</t>
  </si>
  <si>
    <t>R1, R2, R3, R5, R8, R10, R13, R16, R21, R27, R28, R31, R32, R33, R34, R35, R36, R37, R38, R39, R40, R41, R45</t>
  </si>
  <si>
    <t>R4, R17, R18, R20, R22, R23, R30</t>
  </si>
  <si>
    <t>R6</t>
  </si>
  <si>
    <t>R7</t>
  </si>
  <si>
    <t>R9</t>
  </si>
  <si>
    <t>R11</t>
  </si>
  <si>
    <t>R19</t>
  </si>
  <si>
    <t>R24, R29</t>
  </si>
  <si>
    <t>R25</t>
  </si>
  <si>
    <t>R26</t>
  </si>
  <si>
    <t>R42, R43</t>
  </si>
  <si>
    <t>S1</t>
  </si>
  <si>
    <t>U1</t>
  </si>
  <si>
    <t>U2</t>
  </si>
  <si>
    <t>U3</t>
  </si>
  <si>
    <t>U4</t>
  </si>
  <si>
    <t>U7, U13, U15</t>
  </si>
  <si>
    <t>U8</t>
  </si>
  <si>
    <t>U9</t>
  </si>
  <si>
    <t>U10</t>
  </si>
  <si>
    <t>U11</t>
  </si>
  <si>
    <t>U14</t>
  </si>
  <si>
    <t>U17</t>
  </si>
  <si>
    <t>Description</t>
  </si>
  <si>
    <t>CAP TANT 22UF 10% 25V 2312</t>
  </si>
  <si>
    <t>10uF 25V 2.5Ω@100kHz ±10% CASE-B-3528 Tantalum Capacitors ROHS</t>
  </si>
  <si>
    <t>CAP CER, 4.7 µF, 25 V, 0603</t>
  </si>
  <si>
    <t>CAP CER 100UF 16V X5R 1210</t>
  </si>
  <si>
    <t>CAP CER 0.1UF 100V X7R 0603</t>
  </si>
  <si>
    <t>CAP CER 0.033UF 50V X7R 0603</t>
  </si>
  <si>
    <t>CAP CER 0.068UF 50V X7R 0603</t>
  </si>
  <si>
    <t>CAP TANT 10UF 10% 35V 2312</t>
  </si>
  <si>
    <t>CAP TANT 22UF 10% 16V 1411</t>
  </si>
  <si>
    <t>3300uF 6.3V ±20% Plugin,D10xL23mm Aluminum Electrolytic Capacitors - Leaded ROHS</t>
  </si>
  <si>
    <t>CAP CER 0.22UF 10V X7R 0603</t>
  </si>
  <si>
    <t>DIODE ARR SCHOTT 60V 20A TO263AB</t>
  </si>
  <si>
    <t>40V 3A 570mV SMB Schottky Barrier Diodes (SBD) ROHS</t>
  </si>
  <si>
    <t>CONN SOCKET 64POS 0.1 GOLD PCB</t>
  </si>
  <si>
    <t>Battery Holder Vertical</t>
  </si>
  <si>
    <t>250V 3A Right-Angle Square Pins 2.54mm 12P 6mm -40℃~+105℃ 2.54mm 双排 Black 2x6P 2.54mm Push-Pull,P=2.54mm Pin Headers ROHS</t>
  </si>
  <si>
    <t>CONN HEADER R/A 4POS 4.2MM</t>
  </si>
  <si>
    <t>CONN HEADER R/A 6POS 4.2MM</t>
  </si>
  <si>
    <t>2.54mm Straight 2x7P 7 Horn buckle 2.54mm 2 Plugin,P=2.54mm IDC Connectors ROHS</t>
  </si>
  <si>
    <t>CONN HEADER R/A 4POS 2.54MM</t>
  </si>
  <si>
    <t>Right-Angle 2.5mm 6mm 10P 2.54mm 双排 2x5P Plugin,P=2.54mm Pin Headers ROHS</t>
  </si>
  <si>
    <t>CONN HEADER R/A 10POS 4.2MM</t>
  </si>
  <si>
    <t>9P Female D-Sub Right-Angle 2 3A -50℃~+105℃ Push-Pull D-Sub / VGA connector ROHS</t>
  </si>
  <si>
    <t>Wire Connecting Pads</t>
  </si>
  <si>
    <t>CONN HEADER SMD R/A 6POS 1MM</t>
  </si>
  <si>
    <t>CONN HEADER R/A 3POS 2.54MM</t>
  </si>
  <si>
    <t>1x4P 1 2.54mm Male pin 4 -25℃~+85℃ 3A Straight Plugin,P=2.54mm Wire To Board / Wire To Wire Connector ROHS</t>
  </si>
  <si>
    <t>CONN HEADER VERT 2POS 2.54MM</t>
  </si>
  <si>
    <t>2.54mm Plugin 3A 2P Straight 1x2P 8.5mm Top Square Holes Plugin,P=2.54mm Female Headers ROHS</t>
  </si>
  <si>
    <t>CONN HEADER SMD R/A 2POS 3.5MM</t>
  </si>
  <si>
    <t>CONN HEADER VERT 3POS 2.54MM</t>
  </si>
  <si>
    <t>CONN HEADER SMD 2POS 1MM</t>
  </si>
  <si>
    <t>Coin Cell Battery Holders VERT HOLDER FOR OR CR2477N</t>
  </si>
  <si>
    <t>28A 4.7uH ±20% 61.2A 2.6mΩ SMD-3P,19.7x27.9mm Inductors (SMD) ROHS</t>
  </si>
  <si>
    <t>3A 47uH Molding Choke ±20% 4.5A SMD Power Inductors ROHS</t>
  </si>
  <si>
    <t>TRANS NPN 40V 0.6A SMD SOT23-3</t>
  </si>
  <si>
    <t>60V 4A 1PCSNChannel SOT-223 MOSFETs ROHS</t>
  </si>
  <si>
    <t>MOSFET P-CH 60V 27A D2PAK</t>
  </si>
  <si>
    <t>MOSFET N-CH 60V 50A D2PAK</t>
  </si>
  <si>
    <t>RES SMD 10K OHM 0.1% 1/10W 0603</t>
  </si>
  <si>
    <t>RES SMD 1K OHM 1% 1/10W 0603</t>
  </si>
  <si>
    <t>RES 49.9K OHM 1% 1/10W 0603</t>
  </si>
  <si>
    <t>100mW Thick Film Resistors 75V ±100ppm/℃ ±1% 1.3kΩ 0603 Chip Resistor - Surface Mount ROHS</t>
  </si>
  <si>
    <t>100mW Thick Film Resistors ±100ppm/℃ ±1% 1MΩ 0603 Chip Resistor - Surface Mount ROHS</t>
  </si>
  <si>
    <t>RES 0.025 OHM 1% 1W 2512</t>
  </si>
  <si>
    <t>RES 100K OHM 5% 1/10W 0603</t>
  </si>
  <si>
    <t>1W 40mΩ Surface Mount Current Sensing Resistors ±50ppm/℃ ±1% 1206 Current Sense Resistors/Shunt Resistors ROHS</t>
  </si>
  <si>
    <t>RES 56K OHM 1% 1/10W 0603</t>
  </si>
  <si>
    <t>RES SMD 100 OHM 1% 1/10W 0603</t>
  </si>
  <si>
    <t>SWITCH SLIDE SPDT 500MA 12V</t>
  </si>
  <si>
    <t>75dB@(120Hz) 1A Fixed 5V Positive electrode 12V SOT-223-3 Linear Voltage Regulators (LDO) ROHS</t>
  </si>
  <si>
    <t>DC DC CONVERTER 0.591-5.5V 30W</t>
  </si>
  <si>
    <t>IC BATT CHG MULTI 1-16C 16TSSOP</t>
  </si>
  <si>
    <t>IC MCU 8BIT 96KB FLASH 64TQFP</t>
  </si>
  <si>
    <t>SOIC-8 MOSFETs ROHS</t>
  </si>
  <si>
    <t>140Kbps transceiver SOP-16 RS232 ICs ROHS</t>
  </si>
  <si>
    <t>IC REG CHRG PUMP 12V 30MA 8SOIC</t>
  </si>
  <si>
    <t>Switching Controllers 12V or Adjustable, High-Efficiency, Low IQ, Step-Up DC-DC Controller</t>
  </si>
  <si>
    <t>IC GATE NAND 4CH 2-INP 14SOIC</t>
  </si>
  <si>
    <t>IC REG CHRG PUMP ADJ 200MA 8SOIC</t>
  </si>
  <si>
    <t>IC TRANSCEIVER FULL 1/1 14SOIC</t>
  </si>
  <si>
    <t>Footprint</t>
  </si>
  <si>
    <t>Case-C</t>
  </si>
  <si>
    <t>Case-B</t>
  </si>
  <si>
    <t>Cap-0603</t>
  </si>
  <si>
    <t>Cap-1210</t>
  </si>
  <si>
    <t>6ME3300WG</t>
  </si>
  <si>
    <t>VS-48CTQ060S-M3</t>
  </si>
  <si>
    <t>SMB_</t>
  </si>
  <si>
    <t>ESW-132-12-G-D</t>
  </si>
  <si>
    <t>HDR 2x4 Female Header</t>
  </si>
  <si>
    <t>HDR 2x6TH (rigth angle)</t>
  </si>
  <si>
    <t>2.54-2*7P</t>
  </si>
  <si>
    <t>HDR 2x5TH (rigth angle)</t>
  </si>
  <si>
    <t>D-DMR009PF-D002</t>
  </si>
  <si>
    <t>14P Through Hole Pads_</t>
  </si>
  <si>
    <t>SM06B-SHLS-TF(LF)(SN)</t>
  </si>
  <si>
    <t>M2510V-04P</t>
  </si>
  <si>
    <t>HDR1X2 (Female)</t>
  </si>
  <si>
    <t>SM02B-BHSS-1-TB(LF)(SN)</t>
  </si>
  <si>
    <t>BM02B-SRSS-TB(LF)(SN)</t>
  </si>
  <si>
    <t>NH5077-LF</t>
  </si>
  <si>
    <t>THC2818-4R7M</t>
  </si>
  <si>
    <t>SMMS1050-470M</t>
  </si>
  <si>
    <t>SOT-23</t>
  </si>
  <si>
    <t>SOT- 223</t>
  </si>
  <si>
    <t>D2Pak.</t>
  </si>
  <si>
    <t>STB55NF06T4</t>
  </si>
  <si>
    <t>Res-0603</t>
  </si>
  <si>
    <t>RES-2512</t>
  </si>
  <si>
    <t>Res-1206</t>
  </si>
  <si>
    <t>SM0320102</t>
  </si>
  <si>
    <t>OKL-T/6-W12P-C</t>
  </si>
  <si>
    <t>TSSOP-16-EP</t>
  </si>
  <si>
    <t>64-TQFP (10x10)</t>
  </si>
  <si>
    <t>SOIC-8</t>
  </si>
  <si>
    <t>SOP-16</t>
  </si>
  <si>
    <t>SOIC-8(0.154", 3.90mm Width)</t>
  </si>
  <si>
    <t>SOIC-8(0.150", 3.80mm Width)</t>
  </si>
  <si>
    <t>SOIC-14</t>
  </si>
  <si>
    <t>Manufacturer Part Number</t>
  </si>
  <si>
    <t>TR3C226K025C0250</t>
  </si>
  <si>
    <t>CA45-B025K106T</t>
  </si>
  <si>
    <t>C1608X5R1E475KT000E</t>
  </si>
  <si>
    <t>EMK325ABJ107MM-P</t>
  </si>
  <si>
    <t>CC0603KRX7R0BB104</t>
  </si>
  <si>
    <t>CL10B333KB8NNNC</t>
  </si>
  <si>
    <t>CC0603KRX7R9BB683</t>
  </si>
  <si>
    <t>TAJC106K035RNJ</t>
  </si>
  <si>
    <t>TAJB226K016RNJ</t>
  </si>
  <si>
    <t>CC0603KRX7R6BB224</t>
  </si>
  <si>
    <t>STPS340U</t>
  </si>
  <si>
    <t>ESW-104-12-G-D</t>
  </si>
  <si>
    <t>CS-1107-2X6(L14/19)</t>
  </si>
  <si>
    <t>39-30-0040</t>
  </si>
  <si>
    <t>2541WR-2x05P</t>
  </si>
  <si>
    <t>14P Through Hole Pads</t>
  </si>
  <si>
    <t>DM254R-11-02-85</t>
  </si>
  <si>
    <t>MMBT2222A-7-F</t>
  </si>
  <si>
    <t>NTF3055L175T1G-VB</t>
  </si>
  <si>
    <t>FQB27P06TM</t>
  </si>
  <si>
    <t>RT0603BRD0710KL</t>
  </si>
  <si>
    <t>RC0603FR-071KL</t>
  </si>
  <si>
    <t>RC0603FR-0749K9L</t>
  </si>
  <si>
    <t>0603WAF1301T5E</t>
  </si>
  <si>
    <t>WSL2512R0250FEA</t>
  </si>
  <si>
    <t>RC0603JR-07100KL</t>
  </si>
  <si>
    <t>LR1206-21R040F4</t>
  </si>
  <si>
    <t>RC0603FR-0756KL</t>
  </si>
  <si>
    <t>RC0603FR-07100RL</t>
  </si>
  <si>
    <t>LM1117S-5.0</t>
  </si>
  <si>
    <t>LTC4010CFE#PBF</t>
  </si>
  <si>
    <t>PIC18F6627-I/PT</t>
  </si>
  <si>
    <t>FDS4435A</t>
  </si>
  <si>
    <t>MAX232EIM/TR</t>
  </si>
  <si>
    <t>MAX662AESA+T</t>
  </si>
  <si>
    <t>MAX1771ESA+</t>
  </si>
  <si>
    <t>MM74HC00M</t>
  </si>
  <si>
    <t>MAX889RESA+</t>
  </si>
  <si>
    <t>MAX3080ECSD+</t>
  </si>
  <si>
    <t>Manufacturer</t>
  </si>
  <si>
    <t>Vishay Sprague</t>
  </si>
  <si>
    <t>Xiangyee in S&amp;T</t>
  </si>
  <si>
    <t>TDK</t>
  </si>
  <si>
    <t>Taiyo Yuden</t>
  </si>
  <si>
    <t>Yageo</t>
  </si>
  <si>
    <t>Samsung</t>
  </si>
  <si>
    <t>Kyocera AVX</t>
  </si>
  <si>
    <t>SUNCON(SUN Elec Industries)</t>
  </si>
  <si>
    <t>Vishay Semiconductors</t>
  </si>
  <si>
    <t>Tokmas</t>
  </si>
  <si>
    <t>Samtec</t>
  </si>
  <si>
    <t>CST</t>
  </si>
  <si>
    <t>Molex</t>
  </si>
  <si>
    <t>BOOMELE</t>
  </si>
  <si>
    <t>HanElectricity</t>
  </si>
  <si>
    <t>Ckmtw</t>
  </si>
  <si>
    <t>JST</t>
  </si>
  <si>
    <t>XFCN</t>
  </si>
  <si>
    <t>DEALON</t>
  </si>
  <si>
    <t>Renata</t>
  </si>
  <si>
    <t>KOHERelec</t>
  </si>
  <si>
    <t>SXN</t>
  </si>
  <si>
    <t>Diodes</t>
  </si>
  <si>
    <t>VBsemi Elec</t>
  </si>
  <si>
    <t>ON Semiconductor / Fairchild</t>
  </si>
  <si>
    <t>STMicroelectronics</t>
  </si>
  <si>
    <t>UNI-ROYAL</t>
  </si>
  <si>
    <t>UNI-ROYAL(Uniroyal Elec)</t>
  </si>
  <si>
    <t>Vishay Dale</t>
  </si>
  <si>
    <t>RALEC</t>
  </si>
  <si>
    <t>NKK Switches</t>
  </si>
  <si>
    <t>HTC Korea TAEJIN Tech</t>
  </si>
  <si>
    <t>Murata</t>
  </si>
  <si>
    <t>Analog Devices / Linear Technology</t>
  </si>
  <si>
    <t>Microchip</t>
  </si>
  <si>
    <t>TECH PUBLIC</t>
  </si>
  <si>
    <t>HGSEMI</t>
  </si>
  <si>
    <t>Maxim</t>
  </si>
  <si>
    <t>22uF</t>
  </si>
  <si>
    <t>10uF</t>
  </si>
  <si>
    <t>4.7uF</t>
  </si>
  <si>
    <t>100uF</t>
  </si>
  <si>
    <t>0.1uF</t>
  </si>
  <si>
    <t>33nF</t>
  </si>
  <si>
    <t>68nF</t>
  </si>
  <si>
    <t>220nF</t>
  </si>
  <si>
    <t>DNP</t>
  </si>
  <si>
    <t>47uH</t>
  </si>
  <si>
    <t>10K</t>
  </si>
  <si>
    <t>1K</t>
  </si>
  <si>
    <t>49K9</t>
  </si>
  <si>
    <t>1.3K</t>
  </si>
  <si>
    <t>4.99K</t>
  </si>
  <si>
    <t>0.025R</t>
  </si>
  <si>
    <t>1M</t>
  </si>
  <si>
    <t>100K</t>
  </si>
  <si>
    <t>40mR</t>
  </si>
  <si>
    <t>56K</t>
  </si>
  <si>
    <t>100R</t>
  </si>
  <si>
    <t>Quantity</t>
  </si>
  <si>
    <t xml:space="preserve"> Remarks</t>
  </si>
  <si>
    <t>Value</t>
  </si>
  <si>
    <t>-</t>
  </si>
  <si>
    <t>4.7uH</t>
  </si>
  <si>
    <t>3300uF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</si>
</sst>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4"/>
  <sheetViews>
    <sheetView tabSelected="1" workbookViewId="0">
      <selection activeCell="I13" sqref="I1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28</v>
      </c>
      <c r="E2" s="6" t="s">
        <v>91</v>
      </c>
      <c r="F2" s="5" t="s">
        <v>153</v>
      </c>
      <c r="G2" s="6" t="s">
        <v>192</v>
      </c>
      <c r="H2" s="5" t="s">
        <v>232</v>
      </c>
      <c r="I2" s="6" t="s">
        <v>294</v>
      </c>
      <c r="J2" s="5" t="s">
        <v>292</v>
      </c>
      <c r="K2" s="5" t="s">
        <v>293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29</v>
      </c>
      <c r="E3" s="8" t="s">
        <v>92</v>
      </c>
      <c r="F3" s="7" t="s">
        <v>154</v>
      </c>
      <c r="G3" s="8" t="s">
        <v>193</v>
      </c>
      <c r="H3" s="7" t="s">
        <v>233</v>
      </c>
      <c r="I3" s="8" t="s">
        <v>271</v>
      </c>
      <c r="J3" s="7">
        <v>1</v>
      </c>
      <c r="K3" s="7"/>
    </row>
    <row r="4" spans="1:11" ht="24.75" thickBot="1" x14ac:dyDescent="0.3">
      <c r="A4" s="1"/>
      <c r="B4" s="11">
        <f t="shared" ref="B4:B64" si="0">ROW(B4) - ROW($B$2)</f>
        <v>2</v>
      </c>
      <c r="C4" s="13" t="s">
        <v>3</v>
      </c>
      <c r="D4" s="9" t="s">
        <v>30</v>
      </c>
      <c r="E4" s="10" t="s">
        <v>93</v>
      </c>
      <c r="F4" s="9" t="s">
        <v>155</v>
      </c>
      <c r="G4" s="10" t="s">
        <v>194</v>
      </c>
      <c r="H4" s="9" t="s">
        <v>234</v>
      </c>
      <c r="I4" s="10" t="s">
        <v>272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31</v>
      </c>
      <c r="E5" s="8" t="s">
        <v>94</v>
      </c>
      <c r="F5" s="7" t="s">
        <v>156</v>
      </c>
      <c r="G5" s="8" t="s">
        <v>195</v>
      </c>
      <c r="H5" s="7" t="s">
        <v>235</v>
      </c>
      <c r="I5" s="8" t="s">
        <v>273</v>
      </c>
      <c r="J5" s="7">
        <v>4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32</v>
      </c>
      <c r="E6" s="10" t="s">
        <v>95</v>
      </c>
      <c r="F6" s="9" t="s">
        <v>157</v>
      </c>
      <c r="G6" s="10" t="s">
        <v>196</v>
      </c>
      <c r="H6" s="9" t="s">
        <v>236</v>
      </c>
      <c r="I6" s="10" t="s">
        <v>274</v>
      </c>
      <c r="J6" s="9">
        <v>3</v>
      </c>
      <c r="K6" s="9"/>
    </row>
    <row r="7" spans="1:11" ht="24.75" thickBot="1" x14ac:dyDescent="0.3">
      <c r="A7" s="1"/>
      <c r="B7" s="11">
        <f>ROW(B7) - ROW($B$2)</f>
        <v>5</v>
      </c>
      <c r="C7" s="12" t="s">
        <v>3</v>
      </c>
      <c r="D7" s="7" t="s">
        <v>33</v>
      </c>
      <c r="E7" s="8" t="s">
        <v>96</v>
      </c>
      <c r="F7" s="7" t="s">
        <v>156</v>
      </c>
      <c r="G7" s="8" t="s">
        <v>197</v>
      </c>
      <c r="H7" s="7" t="s">
        <v>237</v>
      </c>
      <c r="I7" s="8" t="s">
        <v>275</v>
      </c>
      <c r="J7" s="7">
        <v>15</v>
      </c>
      <c r="K7" s="7"/>
    </row>
    <row r="8" spans="1:11" ht="15.75" thickBot="1" x14ac:dyDescent="0.3">
      <c r="A8" s="1"/>
      <c r="B8" s="11">
        <f t="shared" si="0"/>
        <v>6</v>
      </c>
      <c r="C8" s="13"/>
      <c r="D8" s="9" t="s">
        <v>34</v>
      </c>
      <c r="E8" s="10" t="s">
        <v>97</v>
      </c>
      <c r="F8" s="9" t="s">
        <v>156</v>
      </c>
      <c r="G8" s="10" t="s">
        <v>198</v>
      </c>
      <c r="H8" s="9" t="s">
        <v>238</v>
      </c>
      <c r="I8" s="10" t="s">
        <v>276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4</v>
      </c>
      <c r="D9" s="7" t="s">
        <v>35</v>
      </c>
      <c r="E9" s="8" t="s">
        <v>98</v>
      </c>
      <c r="F9" s="7" t="s">
        <v>156</v>
      </c>
      <c r="G9" s="8" t="s">
        <v>199</v>
      </c>
      <c r="H9" s="7" t="s">
        <v>237</v>
      </c>
      <c r="I9" s="8" t="s">
        <v>277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36</v>
      </c>
      <c r="E10" s="10" t="s">
        <v>99</v>
      </c>
      <c r="F10" s="9" t="s">
        <v>154</v>
      </c>
      <c r="G10" s="10" t="s">
        <v>200</v>
      </c>
      <c r="H10" s="9" t="s">
        <v>239</v>
      </c>
      <c r="I10" s="10" t="s">
        <v>272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37</v>
      </c>
      <c r="E11" s="8" t="s">
        <v>100</v>
      </c>
      <c r="F11" s="7" t="s">
        <v>155</v>
      </c>
      <c r="G11" s="8" t="s">
        <v>201</v>
      </c>
      <c r="H11" s="7" t="s">
        <v>239</v>
      </c>
      <c r="I11" s="8" t="s">
        <v>271</v>
      </c>
      <c r="J11" s="7">
        <v>3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4</v>
      </c>
      <c r="D12" s="9" t="s">
        <v>38</v>
      </c>
      <c r="E12" s="10" t="s">
        <v>101</v>
      </c>
      <c r="F12" s="9" t="s">
        <v>158</v>
      </c>
      <c r="G12" s="10" t="s">
        <v>158</v>
      </c>
      <c r="H12" s="9" t="s">
        <v>240</v>
      </c>
      <c r="I12" s="10" t="s">
        <v>297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39</v>
      </c>
      <c r="E13" s="8" t="s">
        <v>102</v>
      </c>
      <c r="F13" s="7" t="s">
        <v>156</v>
      </c>
      <c r="G13" s="8" t="s">
        <v>202</v>
      </c>
      <c r="H13" s="7" t="s">
        <v>237</v>
      </c>
      <c r="I13" s="8" t="s">
        <v>278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6</v>
      </c>
      <c r="D14" s="9" t="s">
        <v>40</v>
      </c>
      <c r="E14" s="10" t="s">
        <v>103</v>
      </c>
      <c r="F14" s="9" t="s">
        <v>159</v>
      </c>
      <c r="G14" s="10" t="s">
        <v>159</v>
      </c>
      <c r="H14" s="9" t="s">
        <v>241</v>
      </c>
      <c r="I14" s="10" t="s">
        <v>295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7</v>
      </c>
      <c r="D15" s="7" t="s">
        <v>41</v>
      </c>
      <c r="E15" s="8" t="s">
        <v>104</v>
      </c>
      <c r="F15" s="7" t="s">
        <v>160</v>
      </c>
      <c r="G15" s="8" t="s">
        <v>203</v>
      </c>
      <c r="H15" s="7" t="s">
        <v>242</v>
      </c>
      <c r="I15" s="10" t="s">
        <v>295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8</v>
      </c>
      <c r="D16" s="9" t="s">
        <v>42</v>
      </c>
      <c r="E16" s="10" t="s">
        <v>105</v>
      </c>
      <c r="F16" s="9" t="s">
        <v>161</v>
      </c>
      <c r="G16" s="10" t="s">
        <v>161</v>
      </c>
      <c r="H16" s="9" t="s">
        <v>243</v>
      </c>
      <c r="I16" s="10" t="s">
        <v>295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9</v>
      </c>
      <c r="D17" s="7" t="s">
        <v>43</v>
      </c>
      <c r="E17" s="8" t="s">
        <v>106</v>
      </c>
      <c r="F17" s="7" t="s">
        <v>162</v>
      </c>
      <c r="G17" s="8" t="s">
        <v>204</v>
      </c>
      <c r="H17" s="7" t="s">
        <v>243</v>
      </c>
      <c r="I17" s="10" t="s">
        <v>295</v>
      </c>
      <c r="J17" s="7">
        <v>1</v>
      </c>
      <c r="K17" s="7"/>
    </row>
    <row r="18" spans="1:11" ht="60.75" thickBot="1" x14ac:dyDescent="0.3">
      <c r="A18" s="1"/>
      <c r="B18" s="11">
        <f t="shared" si="0"/>
        <v>16</v>
      </c>
      <c r="C18" s="13" t="s">
        <v>10</v>
      </c>
      <c r="D18" s="9" t="s">
        <v>44</v>
      </c>
      <c r="E18" s="10" t="s">
        <v>107</v>
      </c>
      <c r="F18" s="9" t="s">
        <v>163</v>
      </c>
      <c r="G18" s="10" t="s">
        <v>205</v>
      </c>
      <c r="H18" s="9" t="s">
        <v>244</v>
      </c>
      <c r="I18" s="10" t="s">
        <v>295</v>
      </c>
      <c r="J18" s="9">
        <v>1</v>
      </c>
      <c r="K18" s="9"/>
    </row>
    <row r="19" spans="1:11" ht="26.25" thickBot="1" x14ac:dyDescent="0.3">
      <c r="A19" s="1"/>
      <c r="B19" s="11">
        <f>ROW(B19) - ROW($B$2)</f>
        <v>17</v>
      </c>
      <c r="C19" s="12" t="s">
        <v>11</v>
      </c>
      <c r="D19" s="7" t="s">
        <v>45</v>
      </c>
      <c r="E19" s="8" t="s">
        <v>108</v>
      </c>
      <c r="F19" s="7">
        <v>39300040</v>
      </c>
      <c r="G19" s="8" t="s">
        <v>206</v>
      </c>
      <c r="H19" s="7" t="s">
        <v>245</v>
      </c>
      <c r="I19" s="10" t="s">
        <v>295</v>
      </c>
      <c r="J19" s="7">
        <v>2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12</v>
      </c>
      <c r="D20" s="9" t="s">
        <v>46</v>
      </c>
      <c r="E20" s="10" t="s">
        <v>109</v>
      </c>
      <c r="F20" s="9">
        <v>39301060</v>
      </c>
      <c r="G20" s="10">
        <v>39301060</v>
      </c>
      <c r="H20" s="9" t="s">
        <v>245</v>
      </c>
      <c r="I20" s="10" t="s">
        <v>295</v>
      </c>
      <c r="J20" s="9">
        <v>1</v>
      </c>
      <c r="K20" s="9"/>
    </row>
    <row r="21" spans="1:11" ht="36.75" thickBot="1" x14ac:dyDescent="0.3">
      <c r="A21" s="1"/>
      <c r="B21" s="11">
        <f>ROW(B21) - ROW($B$2)</f>
        <v>19</v>
      </c>
      <c r="C21" s="12" t="s">
        <v>13</v>
      </c>
      <c r="D21" s="7" t="s">
        <v>47</v>
      </c>
      <c r="E21" s="8" t="s">
        <v>110</v>
      </c>
      <c r="F21" s="7" t="s">
        <v>164</v>
      </c>
      <c r="G21" s="8" t="s">
        <v>164</v>
      </c>
      <c r="H21" s="7" t="s">
        <v>246</v>
      </c>
      <c r="I21" s="10" t="s">
        <v>295</v>
      </c>
      <c r="J21" s="7">
        <v>1</v>
      </c>
      <c r="K21" s="7"/>
    </row>
    <row r="22" spans="1:11" ht="26.25" thickBot="1" x14ac:dyDescent="0.3">
      <c r="A22" s="1"/>
      <c r="B22" s="11">
        <f t="shared" si="0"/>
        <v>20</v>
      </c>
      <c r="C22" s="13" t="s">
        <v>14</v>
      </c>
      <c r="D22" s="9" t="s">
        <v>48</v>
      </c>
      <c r="E22" s="10" t="s">
        <v>111</v>
      </c>
      <c r="F22" s="9">
        <v>22053041</v>
      </c>
      <c r="G22" s="10">
        <v>22053041</v>
      </c>
      <c r="H22" s="9" t="s">
        <v>245</v>
      </c>
      <c r="I22" s="10" t="s">
        <v>295</v>
      </c>
      <c r="J22" s="9">
        <v>1</v>
      </c>
      <c r="K22" s="9"/>
    </row>
    <row r="23" spans="1:11" ht="36.75" thickBot="1" x14ac:dyDescent="0.3">
      <c r="A23" s="1"/>
      <c r="B23" s="11">
        <f>ROW(B23) - ROW($B$2)</f>
        <v>21</v>
      </c>
      <c r="C23" s="12" t="s">
        <v>10</v>
      </c>
      <c r="D23" s="7" t="s">
        <v>49</v>
      </c>
      <c r="E23" s="8" t="s">
        <v>112</v>
      </c>
      <c r="F23" s="7" t="s">
        <v>165</v>
      </c>
      <c r="G23" s="8" t="s">
        <v>207</v>
      </c>
      <c r="H23" s="7" t="s">
        <v>247</v>
      </c>
      <c r="I23" s="10" t="s">
        <v>295</v>
      </c>
      <c r="J23" s="7">
        <v>2</v>
      </c>
      <c r="K23" s="7"/>
    </row>
    <row r="24" spans="1:11" ht="26.25" thickBot="1" x14ac:dyDescent="0.3">
      <c r="A24" s="1"/>
      <c r="B24" s="11">
        <f t="shared" si="0"/>
        <v>22</v>
      </c>
      <c r="C24" s="13" t="s">
        <v>14</v>
      </c>
      <c r="D24" s="9" t="s">
        <v>50</v>
      </c>
      <c r="E24" s="10" t="s">
        <v>113</v>
      </c>
      <c r="F24" s="9">
        <v>39301100</v>
      </c>
      <c r="G24" s="10">
        <v>39301100</v>
      </c>
      <c r="H24" s="9" t="s">
        <v>245</v>
      </c>
      <c r="I24" s="10" t="s">
        <v>295</v>
      </c>
      <c r="J24" s="9">
        <v>1</v>
      </c>
      <c r="K24" s="9"/>
    </row>
    <row r="25" spans="1:11" ht="36.75" thickBot="1" x14ac:dyDescent="0.3">
      <c r="A25" s="1"/>
      <c r="B25" s="11">
        <f>ROW(B25) - ROW($B$2)</f>
        <v>23</v>
      </c>
      <c r="C25" s="12" t="s">
        <v>15</v>
      </c>
      <c r="D25" s="7" t="s">
        <v>51</v>
      </c>
      <c r="E25" s="8" t="s">
        <v>114</v>
      </c>
      <c r="F25" s="7" t="s">
        <v>166</v>
      </c>
      <c r="G25" s="8" t="s">
        <v>166</v>
      </c>
      <c r="H25" s="7" t="s">
        <v>248</v>
      </c>
      <c r="I25" s="10" t="s">
        <v>295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16</v>
      </c>
      <c r="D26" s="9" t="s">
        <v>52</v>
      </c>
      <c r="E26" s="10" t="s">
        <v>115</v>
      </c>
      <c r="F26" s="9" t="s">
        <v>167</v>
      </c>
      <c r="G26" s="10" t="s">
        <v>208</v>
      </c>
      <c r="H26" s="9"/>
      <c r="I26" s="10" t="s">
        <v>279</v>
      </c>
      <c r="J26" s="9">
        <v>1</v>
      </c>
      <c r="K26" s="9"/>
    </row>
    <row r="27" spans="1:11" ht="26.25" thickBot="1" x14ac:dyDescent="0.3">
      <c r="A27" s="1"/>
      <c r="B27" s="11">
        <f>ROW(B27) - ROW($B$2)</f>
        <v>25</v>
      </c>
      <c r="C27" s="12" t="s">
        <v>11</v>
      </c>
      <c r="D27" s="7" t="s">
        <v>53</v>
      </c>
      <c r="E27" s="8" t="s">
        <v>116</v>
      </c>
      <c r="F27" s="7" t="s">
        <v>168</v>
      </c>
      <c r="G27" s="8" t="s">
        <v>168</v>
      </c>
      <c r="H27" s="7" t="s">
        <v>249</v>
      </c>
      <c r="I27" s="8" t="s">
        <v>295</v>
      </c>
      <c r="J27" s="7">
        <v>3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12</v>
      </c>
      <c r="D28" s="9" t="s">
        <v>54</v>
      </c>
      <c r="E28" s="10" t="s">
        <v>117</v>
      </c>
      <c r="F28" s="9">
        <v>22053031</v>
      </c>
      <c r="G28" s="10">
        <v>22053031</v>
      </c>
      <c r="H28" s="9" t="s">
        <v>245</v>
      </c>
      <c r="I28" s="8" t="s">
        <v>295</v>
      </c>
      <c r="J28" s="9">
        <v>1</v>
      </c>
      <c r="K28" s="9"/>
    </row>
    <row r="29" spans="1:11" ht="48.75" thickBot="1" x14ac:dyDescent="0.3">
      <c r="A29" s="1"/>
      <c r="B29" s="11">
        <f>ROW(B29) - ROW($B$2)</f>
        <v>27</v>
      </c>
      <c r="C29" s="12" t="s">
        <v>14</v>
      </c>
      <c r="D29" s="7" t="s">
        <v>55</v>
      </c>
      <c r="E29" s="8" t="s">
        <v>118</v>
      </c>
      <c r="F29" s="7" t="s">
        <v>169</v>
      </c>
      <c r="G29" s="8" t="s">
        <v>169</v>
      </c>
      <c r="H29" s="7" t="s">
        <v>250</v>
      </c>
      <c r="I29" s="8" t="s">
        <v>295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12</v>
      </c>
      <c r="D30" s="9" t="s">
        <v>56</v>
      </c>
      <c r="E30" s="10" t="s">
        <v>119</v>
      </c>
      <c r="F30" s="9">
        <v>22112022</v>
      </c>
      <c r="G30" s="10">
        <v>22112022</v>
      </c>
      <c r="H30" s="9" t="s">
        <v>245</v>
      </c>
      <c r="I30" s="8" t="s">
        <v>295</v>
      </c>
      <c r="J30" s="9">
        <v>1</v>
      </c>
      <c r="K30" s="9"/>
    </row>
    <row r="31" spans="1:11" ht="48.75" thickBot="1" x14ac:dyDescent="0.3">
      <c r="A31" s="1"/>
      <c r="B31" s="11">
        <f>ROW(B31) - ROW($B$2)</f>
        <v>29</v>
      </c>
      <c r="C31" s="12" t="s">
        <v>17</v>
      </c>
      <c r="D31" s="7" t="s">
        <v>57</v>
      </c>
      <c r="E31" s="8" t="s">
        <v>120</v>
      </c>
      <c r="F31" s="7" t="s">
        <v>170</v>
      </c>
      <c r="G31" s="8" t="s">
        <v>209</v>
      </c>
      <c r="H31" s="7" t="s">
        <v>251</v>
      </c>
      <c r="I31" s="8" t="s">
        <v>295</v>
      </c>
      <c r="J31" s="7">
        <v>1</v>
      </c>
      <c r="K31" s="7"/>
    </row>
    <row r="32" spans="1:11" ht="26.25" thickBot="1" x14ac:dyDescent="0.3">
      <c r="A32" s="1"/>
      <c r="B32" s="11">
        <f t="shared" si="0"/>
        <v>30</v>
      </c>
      <c r="C32" s="13" t="s">
        <v>11</v>
      </c>
      <c r="D32" s="9" t="s">
        <v>58</v>
      </c>
      <c r="E32" s="10" t="s">
        <v>121</v>
      </c>
      <c r="F32" s="9" t="s">
        <v>171</v>
      </c>
      <c r="G32" s="10" t="s">
        <v>171</v>
      </c>
      <c r="H32" s="9" t="s">
        <v>249</v>
      </c>
      <c r="I32" s="8" t="s">
        <v>295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12</v>
      </c>
      <c r="D33" s="7" t="s">
        <v>59</v>
      </c>
      <c r="E33" s="8" t="s">
        <v>122</v>
      </c>
      <c r="F33" s="7">
        <v>22112032</v>
      </c>
      <c r="G33" s="8">
        <v>22112032</v>
      </c>
      <c r="H33" s="7" t="s">
        <v>245</v>
      </c>
      <c r="I33" s="8" t="s">
        <v>295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8</v>
      </c>
      <c r="D34" s="9" t="s">
        <v>60</v>
      </c>
      <c r="E34" s="10" t="s">
        <v>123</v>
      </c>
      <c r="F34" s="9" t="s">
        <v>172</v>
      </c>
      <c r="G34" s="10" t="s">
        <v>172</v>
      </c>
      <c r="H34" s="9" t="s">
        <v>249</v>
      </c>
      <c r="I34" s="8" t="s">
        <v>295</v>
      </c>
      <c r="J34" s="9">
        <v>1</v>
      </c>
      <c r="K34" s="9"/>
    </row>
    <row r="35" spans="1:11" ht="26.25" thickBot="1" x14ac:dyDescent="0.3">
      <c r="A35" s="1"/>
      <c r="B35" s="11">
        <f>ROW(B35) - ROW($B$2)</f>
        <v>33</v>
      </c>
      <c r="C35" s="12" t="s">
        <v>18</v>
      </c>
      <c r="D35" s="7" t="s">
        <v>61</v>
      </c>
      <c r="E35" s="8" t="s">
        <v>124</v>
      </c>
      <c r="F35" s="7" t="s">
        <v>173</v>
      </c>
      <c r="G35" s="8" t="s">
        <v>173</v>
      </c>
      <c r="H35" s="7" t="s">
        <v>252</v>
      </c>
      <c r="I35" s="8" t="s">
        <v>295</v>
      </c>
      <c r="J35" s="7">
        <v>1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19</v>
      </c>
      <c r="D36" s="9" t="s">
        <v>62</v>
      </c>
      <c r="E36" s="10" t="s">
        <v>125</v>
      </c>
      <c r="F36" s="9" t="s">
        <v>174</v>
      </c>
      <c r="G36" s="10" t="s">
        <v>174</v>
      </c>
      <c r="H36" s="9" t="s">
        <v>253</v>
      </c>
      <c r="I36" s="8" t="s">
        <v>296</v>
      </c>
      <c r="J36" s="9">
        <v>1</v>
      </c>
      <c r="K36" s="9"/>
    </row>
    <row r="37" spans="1:11" ht="24.75" thickBot="1" x14ac:dyDescent="0.3">
      <c r="A37" s="1"/>
      <c r="B37" s="11">
        <f>ROW(B37) - ROW($B$2)</f>
        <v>35</v>
      </c>
      <c r="C37" s="13" t="s">
        <v>19</v>
      </c>
      <c r="D37" s="7" t="s">
        <v>63</v>
      </c>
      <c r="E37" s="8" t="s">
        <v>126</v>
      </c>
      <c r="F37" s="7" t="s">
        <v>175</v>
      </c>
      <c r="G37" s="8" t="s">
        <v>175</v>
      </c>
      <c r="H37" s="7" t="s">
        <v>254</v>
      </c>
      <c r="I37" s="8" t="s">
        <v>280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20</v>
      </c>
      <c r="D38" s="9" t="s">
        <v>64</v>
      </c>
      <c r="E38" s="10" t="s">
        <v>127</v>
      </c>
      <c r="F38" s="9" t="s">
        <v>176</v>
      </c>
      <c r="G38" s="10" t="s">
        <v>210</v>
      </c>
      <c r="H38" s="9" t="s">
        <v>255</v>
      </c>
      <c r="I38" s="10" t="s">
        <v>295</v>
      </c>
      <c r="J38" s="9">
        <v>4</v>
      </c>
      <c r="K38" s="9"/>
    </row>
    <row r="39" spans="1:11" ht="24.75" thickBot="1" x14ac:dyDescent="0.3">
      <c r="A39" s="1"/>
      <c r="B39" s="11">
        <f>ROW(B39) - ROW($B$2)</f>
        <v>37</v>
      </c>
      <c r="C39" s="12" t="s">
        <v>21</v>
      </c>
      <c r="D39" s="7" t="s">
        <v>65</v>
      </c>
      <c r="E39" s="8" t="s">
        <v>128</v>
      </c>
      <c r="F39" s="7" t="s">
        <v>177</v>
      </c>
      <c r="G39" s="8" t="s">
        <v>211</v>
      </c>
      <c r="H39" s="7" t="s">
        <v>256</v>
      </c>
      <c r="I39" s="8" t="s">
        <v>295</v>
      </c>
      <c r="J39" s="7">
        <v>1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22</v>
      </c>
      <c r="D40" s="9" t="s">
        <v>66</v>
      </c>
      <c r="E40" s="10" t="s">
        <v>129</v>
      </c>
      <c r="F40" s="9" t="s">
        <v>178</v>
      </c>
      <c r="G40" s="10" t="s">
        <v>212</v>
      </c>
      <c r="H40" s="9" t="s">
        <v>257</v>
      </c>
      <c r="I40" s="10" t="s">
        <v>295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22</v>
      </c>
      <c r="D41" s="7" t="s">
        <v>67</v>
      </c>
      <c r="E41" s="8" t="s">
        <v>130</v>
      </c>
      <c r="F41" s="7" t="s">
        <v>179</v>
      </c>
      <c r="G41" s="8" t="s">
        <v>179</v>
      </c>
      <c r="H41" s="7" t="s">
        <v>258</v>
      </c>
      <c r="I41" s="8" t="s">
        <v>295</v>
      </c>
      <c r="J41" s="7">
        <v>1</v>
      </c>
      <c r="K41" s="7"/>
    </row>
    <row r="42" spans="1:11" ht="36.75" thickBot="1" x14ac:dyDescent="0.3">
      <c r="A42" s="1"/>
      <c r="B42" s="11">
        <f t="shared" si="0"/>
        <v>40</v>
      </c>
      <c r="C42" s="13" t="s">
        <v>23</v>
      </c>
      <c r="D42" s="9" t="s">
        <v>68</v>
      </c>
      <c r="E42" s="10" t="s">
        <v>131</v>
      </c>
      <c r="F42" s="9" t="s">
        <v>180</v>
      </c>
      <c r="G42" s="10" t="s">
        <v>213</v>
      </c>
      <c r="H42" s="9" t="s">
        <v>237</v>
      </c>
      <c r="I42" s="10" t="s">
        <v>281</v>
      </c>
      <c r="J42" s="9">
        <v>23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23</v>
      </c>
      <c r="D43" s="7" t="s">
        <v>69</v>
      </c>
      <c r="E43" s="8" t="s">
        <v>132</v>
      </c>
      <c r="F43" s="7" t="s">
        <v>180</v>
      </c>
      <c r="G43" s="8" t="s">
        <v>214</v>
      </c>
      <c r="H43" s="7" t="s">
        <v>237</v>
      </c>
      <c r="I43" s="8" t="s">
        <v>282</v>
      </c>
      <c r="J43" s="7">
        <v>7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23</v>
      </c>
      <c r="D44" s="9" t="s">
        <v>70</v>
      </c>
      <c r="E44" s="10" t="s">
        <v>133</v>
      </c>
      <c r="F44" s="9" t="s">
        <v>180</v>
      </c>
      <c r="G44" s="10" t="s">
        <v>215</v>
      </c>
      <c r="H44" s="9" t="s">
        <v>237</v>
      </c>
      <c r="I44" s="10" t="s">
        <v>283</v>
      </c>
      <c r="J44" s="9">
        <v>1</v>
      </c>
      <c r="K44" s="9"/>
    </row>
    <row r="45" spans="1:11" ht="36.75" thickBot="1" x14ac:dyDescent="0.3">
      <c r="A45" s="1"/>
      <c r="B45" s="11">
        <f>ROW(B45) - ROW($B$2)</f>
        <v>43</v>
      </c>
      <c r="C45" s="12" t="s">
        <v>23</v>
      </c>
      <c r="D45" s="7" t="s">
        <v>71</v>
      </c>
      <c r="E45" s="8" t="s">
        <v>134</v>
      </c>
      <c r="F45" s="7" t="s">
        <v>180</v>
      </c>
      <c r="G45" s="8" t="s">
        <v>216</v>
      </c>
      <c r="H45" s="7" t="s">
        <v>259</v>
      </c>
      <c r="I45" s="8" t="s">
        <v>284</v>
      </c>
      <c r="J45" s="7">
        <v>1</v>
      </c>
      <c r="K45" s="7"/>
    </row>
    <row r="46" spans="1:11" ht="36.75" thickBot="1" x14ac:dyDescent="0.3">
      <c r="A46" s="1"/>
      <c r="B46" s="11">
        <f t="shared" si="0"/>
        <v>44</v>
      </c>
      <c r="C46" s="13" t="s">
        <v>23</v>
      </c>
      <c r="D46" s="9" t="s">
        <v>72</v>
      </c>
      <c r="E46" s="10" t="s">
        <v>135</v>
      </c>
      <c r="F46" s="9" t="s">
        <v>180</v>
      </c>
      <c r="G46" s="10"/>
      <c r="H46" s="9" t="s">
        <v>260</v>
      </c>
      <c r="I46" s="10" t="s">
        <v>285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23</v>
      </c>
      <c r="D47" s="7" t="s">
        <v>73</v>
      </c>
      <c r="E47" s="8" t="s">
        <v>136</v>
      </c>
      <c r="F47" s="7" t="s">
        <v>181</v>
      </c>
      <c r="G47" s="8" t="s">
        <v>217</v>
      </c>
      <c r="H47" s="7" t="s">
        <v>261</v>
      </c>
      <c r="I47" s="8" t="s">
        <v>286</v>
      </c>
      <c r="J47" s="7">
        <v>1</v>
      </c>
      <c r="K47" s="7"/>
    </row>
    <row r="48" spans="1:11" ht="36.75" thickBot="1" x14ac:dyDescent="0.3">
      <c r="A48" s="1"/>
      <c r="B48" s="11">
        <f t="shared" si="0"/>
        <v>46</v>
      </c>
      <c r="C48" s="13" t="s">
        <v>23</v>
      </c>
      <c r="D48" s="9" t="s">
        <v>74</v>
      </c>
      <c r="E48" s="10" t="s">
        <v>135</v>
      </c>
      <c r="F48" s="9" t="s">
        <v>180</v>
      </c>
      <c r="G48" s="10"/>
      <c r="H48" s="9" t="s">
        <v>260</v>
      </c>
      <c r="I48" s="10" t="s">
        <v>287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23</v>
      </c>
      <c r="D49" s="7" t="s">
        <v>75</v>
      </c>
      <c r="E49" s="8" t="s">
        <v>137</v>
      </c>
      <c r="F49" s="7" t="s">
        <v>180</v>
      </c>
      <c r="G49" s="8" t="s">
        <v>218</v>
      </c>
      <c r="H49" s="7" t="s">
        <v>237</v>
      </c>
      <c r="I49" s="8" t="s">
        <v>288</v>
      </c>
      <c r="J49" s="7">
        <v>2</v>
      </c>
      <c r="K49" s="7"/>
    </row>
    <row r="50" spans="1:11" ht="48.75" thickBot="1" x14ac:dyDescent="0.3">
      <c r="A50" s="1"/>
      <c r="B50" s="11">
        <f t="shared" si="0"/>
        <v>48</v>
      </c>
      <c r="C50" s="13" t="s">
        <v>23</v>
      </c>
      <c r="D50" s="9" t="s">
        <v>76</v>
      </c>
      <c r="E50" s="10" t="s">
        <v>138</v>
      </c>
      <c r="F50" s="9" t="s">
        <v>182</v>
      </c>
      <c r="G50" s="10" t="s">
        <v>219</v>
      </c>
      <c r="H50" s="9" t="s">
        <v>262</v>
      </c>
      <c r="I50" s="10" t="s">
        <v>289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/>
      <c r="D51" s="7" t="s">
        <v>77</v>
      </c>
      <c r="E51" s="8" t="s">
        <v>139</v>
      </c>
      <c r="F51" s="7" t="s">
        <v>180</v>
      </c>
      <c r="G51" s="8" t="s">
        <v>220</v>
      </c>
      <c r="H51" s="7" t="s">
        <v>237</v>
      </c>
      <c r="I51" s="8" t="s">
        <v>290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23</v>
      </c>
      <c r="D52" s="9" t="s">
        <v>78</v>
      </c>
      <c r="E52" s="10" t="s">
        <v>140</v>
      </c>
      <c r="F52" s="9" t="s">
        <v>180</v>
      </c>
      <c r="G52" s="10" t="s">
        <v>221</v>
      </c>
      <c r="H52" s="9" t="s">
        <v>237</v>
      </c>
      <c r="I52" s="10" t="s">
        <v>291</v>
      </c>
      <c r="J52" s="9">
        <v>2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24</v>
      </c>
      <c r="D53" s="7" t="s">
        <v>79</v>
      </c>
      <c r="E53" s="8" t="s">
        <v>141</v>
      </c>
      <c r="F53" s="7" t="s">
        <v>183</v>
      </c>
      <c r="G53" s="8" t="s">
        <v>183</v>
      </c>
      <c r="H53" s="7" t="s">
        <v>263</v>
      </c>
      <c r="I53" s="8" t="s">
        <v>295</v>
      </c>
      <c r="J53" s="7">
        <v>1</v>
      </c>
      <c r="K53" s="7"/>
    </row>
    <row r="54" spans="1:11" ht="36.75" thickBot="1" x14ac:dyDescent="0.3">
      <c r="A54" s="1"/>
      <c r="B54" s="11">
        <f t="shared" si="0"/>
        <v>52</v>
      </c>
      <c r="C54" s="13" t="s">
        <v>25</v>
      </c>
      <c r="D54" s="9" t="s">
        <v>80</v>
      </c>
      <c r="E54" s="10" t="s">
        <v>142</v>
      </c>
      <c r="F54" s="9" t="s">
        <v>177</v>
      </c>
      <c r="G54" s="10" t="s">
        <v>222</v>
      </c>
      <c r="H54" s="9" t="s">
        <v>264</v>
      </c>
      <c r="I54" s="10" t="s">
        <v>295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26</v>
      </c>
      <c r="D55" s="7" t="s">
        <v>81</v>
      </c>
      <c r="E55" s="8" t="s">
        <v>143</v>
      </c>
      <c r="F55" s="7" t="s">
        <v>184</v>
      </c>
      <c r="G55" s="8" t="s">
        <v>184</v>
      </c>
      <c r="H55" s="7" t="s">
        <v>265</v>
      </c>
      <c r="I55" s="10" t="s">
        <v>295</v>
      </c>
      <c r="J55" s="7">
        <v>1</v>
      </c>
      <c r="K55" s="7"/>
    </row>
    <row r="56" spans="1:11" ht="24.75" thickBot="1" x14ac:dyDescent="0.3">
      <c r="A56" s="1"/>
      <c r="B56" s="11">
        <f t="shared" si="0"/>
        <v>54</v>
      </c>
      <c r="C56" s="13" t="s">
        <v>27</v>
      </c>
      <c r="D56" s="9" t="s">
        <v>82</v>
      </c>
      <c r="E56" s="10" t="s">
        <v>144</v>
      </c>
      <c r="F56" s="9" t="s">
        <v>185</v>
      </c>
      <c r="G56" s="10" t="s">
        <v>223</v>
      </c>
      <c r="H56" s="9" t="s">
        <v>266</v>
      </c>
      <c r="I56" s="10" t="s">
        <v>295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27</v>
      </c>
      <c r="D57" s="7" t="s">
        <v>83</v>
      </c>
      <c r="E57" s="8" t="s">
        <v>145</v>
      </c>
      <c r="F57" s="7" t="s">
        <v>186</v>
      </c>
      <c r="G57" s="8" t="s">
        <v>224</v>
      </c>
      <c r="H57" s="7" t="s">
        <v>267</v>
      </c>
      <c r="I57" s="10" t="s">
        <v>295</v>
      </c>
      <c r="J57" s="7">
        <v>1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20</v>
      </c>
      <c r="D58" s="9" t="s">
        <v>84</v>
      </c>
      <c r="E58" s="10" t="s">
        <v>146</v>
      </c>
      <c r="F58" s="9" t="s">
        <v>187</v>
      </c>
      <c r="G58" s="10" t="s">
        <v>225</v>
      </c>
      <c r="H58" s="9" t="s">
        <v>268</v>
      </c>
      <c r="I58" s="10" t="s">
        <v>295</v>
      </c>
      <c r="J58" s="9">
        <v>3</v>
      </c>
      <c r="K58" s="9"/>
    </row>
    <row r="59" spans="1:11" ht="24.75" thickBot="1" x14ac:dyDescent="0.3">
      <c r="A59" s="1"/>
      <c r="B59" s="11">
        <f>ROW(B59) - ROW($B$2)</f>
        <v>57</v>
      </c>
      <c r="C59" s="12" t="s">
        <v>27</v>
      </c>
      <c r="D59" s="7" t="s">
        <v>85</v>
      </c>
      <c r="E59" s="8" t="s">
        <v>147</v>
      </c>
      <c r="F59" s="7" t="s">
        <v>188</v>
      </c>
      <c r="G59" s="8" t="s">
        <v>226</v>
      </c>
      <c r="H59" s="7" t="s">
        <v>269</v>
      </c>
      <c r="I59" s="10" t="s">
        <v>295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27</v>
      </c>
      <c r="D60" s="9" t="s">
        <v>86</v>
      </c>
      <c r="E60" s="10" t="s">
        <v>148</v>
      </c>
      <c r="F60" s="9" t="s">
        <v>189</v>
      </c>
      <c r="G60" s="10" t="s">
        <v>227</v>
      </c>
      <c r="H60" s="9" t="s">
        <v>270</v>
      </c>
      <c r="I60" s="10" t="s">
        <v>295</v>
      </c>
      <c r="J60" s="9">
        <v>1</v>
      </c>
      <c r="K60" s="9"/>
    </row>
    <row r="61" spans="1:11" ht="36.75" thickBot="1" x14ac:dyDescent="0.3">
      <c r="A61" s="1"/>
      <c r="B61" s="11">
        <f>ROW(B61) - ROW($B$2)</f>
        <v>59</v>
      </c>
      <c r="C61" s="12" t="s">
        <v>27</v>
      </c>
      <c r="D61" s="7" t="s">
        <v>87</v>
      </c>
      <c r="E61" s="8" t="s">
        <v>149</v>
      </c>
      <c r="F61" s="7" t="s">
        <v>190</v>
      </c>
      <c r="G61" s="8" t="s">
        <v>228</v>
      </c>
      <c r="H61" s="7" t="s">
        <v>270</v>
      </c>
      <c r="I61" s="10" t="s">
        <v>295</v>
      </c>
      <c r="J61" s="7">
        <v>1</v>
      </c>
      <c r="K61" s="7"/>
    </row>
    <row r="62" spans="1:11" ht="24.75" thickBot="1" x14ac:dyDescent="0.3">
      <c r="A62" s="1"/>
      <c r="B62" s="11">
        <f t="shared" si="0"/>
        <v>60</v>
      </c>
      <c r="C62" s="13" t="s">
        <v>27</v>
      </c>
      <c r="D62" s="9" t="s">
        <v>88</v>
      </c>
      <c r="E62" s="10" t="s">
        <v>150</v>
      </c>
      <c r="F62" s="9" t="s">
        <v>191</v>
      </c>
      <c r="G62" s="10" t="s">
        <v>229</v>
      </c>
      <c r="H62" s="9" t="s">
        <v>257</v>
      </c>
      <c r="I62" s="10" t="s">
        <v>295</v>
      </c>
      <c r="J62" s="9">
        <v>1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27</v>
      </c>
      <c r="D63" s="7" t="s">
        <v>89</v>
      </c>
      <c r="E63" s="8" t="s">
        <v>151</v>
      </c>
      <c r="F63" s="7" t="s">
        <v>189</v>
      </c>
      <c r="G63" s="8" t="s">
        <v>230</v>
      </c>
      <c r="H63" s="7" t="s">
        <v>270</v>
      </c>
      <c r="I63" s="10" t="s">
        <v>295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27</v>
      </c>
      <c r="D64" s="9" t="s">
        <v>90</v>
      </c>
      <c r="E64" s="10" t="s">
        <v>152</v>
      </c>
      <c r="F64" s="9" t="s">
        <v>191</v>
      </c>
      <c r="G64" s="10" t="s">
        <v>231</v>
      </c>
      <c r="H64" s="9" t="s">
        <v>270</v>
      </c>
      <c r="I64" s="10" t="s">
        <v>295</v>
      </c>
      <c r="J64" s="9">
        <v>1</v>
      </c>
      <c r="K64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LiberDB</cp:lastModifiedBy>
  <dcterms:created xsi:type="dcterms:W3CDTF">2019-12-12T10:34:26Z</dcterms:created>
  <dcterms:modified xsi:type="dcterms:W3CDTF">2024-05-02T18:34:14Z</dcterms:modified>
</cp:coreProperties>
</file>